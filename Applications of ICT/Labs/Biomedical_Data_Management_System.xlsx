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47738F7-F672-4431-9C84-BA937ADD14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tient_Vitals" sheetId="2" r:id="rId1"/>
    <sheet name="Equipment_Inventory" sheetId="3" r:id="rId2"/>
    <sheet name="Equipment_Pow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4" l="1"/>
  <c r="I18" i="4"/>
  <c r="E19" i="4"/>
  <c r="E18" i="4"/>
  <c r="E17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C26" i="2"/>
  <c r="C25" i="2"/>
  <c r="C2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L17" i="2"/>
  <c r="H17" i="2"/>
  <c r="F19" i="2"/>
  <c r="F18" i="2"/>
  <c r="F1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K2" i="2"/>
  <c r="C24" i="3" l="1"/>
  <c r="C23" i="3"/>
  <c r="C22" i="3"/>
</calcChain>
</file>

<file path=xl/sharedStrings.xml><?xml version="1.0" encoding="utf-8"?>
<sst xmlns="http://schemas.openxmlformats.org/spreadsheetml/2006/main" count="129" uniqueCount="106">
  <si>
    <t>Patient ID</t>
  </si>
  <si>
    <t>Patient Name</t>
  </si>
  <si>
    <t>Age</t>
  </si>
  <si>
    <t>Heart Rate (bpm)</t>
  </si>
  <si>
    <t>Systolic BP</t>
  </si>
  <si>
    <t>Diastolic BP</t>
  </si>
  <si>
    <t>Date</t>
  </si>
  <si>
    <t>Patient Status</t>
  </si>
  <si>
    <t>P001</t>
  </si>
  <si>
    <t>Patient 01</t>
  </si>
  <si>
    <t>P002</t>
  </si>
  <si>
    <t>Patient 02</t>
  </si>
  <si>
    <t>P003</t>
  </si>
  <si>
    <t>Patient 03</t>
  </si>
  <si>
    <t>P004</t>
  </si>
  <si>
    <t>Patient 04</t>
  </si>
  <si>
    <t>P005</t>
  </si>
  <si>
    <t>Patient 05</t>
  </si>
  <si>
    <t>P006</t>
  </si>
  <si>
    <t>Patient 06</t>
  </si>
  <si>
    <t>P007</t>
  </si>
  <si>
    <t>Patient 07</t>
  </si>
  <si>
    <t>P008</t>
  </si>
  <si>
    <t>Patient 08</t>
  </si>
  <si>
    <t>P009</t>
  </si>
  <si>
    <t>Patient 09</t>
  </si>
  <si>
    <t>P010</t>
  </si>
  <si>
    <t>Patient 10</t>
  </si>
  <si>
    <t>P011</t>
  </si>
  <si>
    <t>Patient 11</t>
  </si>
  <si>
    <t>P012</t>
  </si>
  <si>
    <t>Patient 12</t>
  </si>
  <si>
    <t>P013</t>
  </si>
  <si>
    <t>Patient 13</t>
  </si>
  <si>
    <t>P014</t>
  </si>
  <si>
    <t>Patient 14</t>
  </si>
  <si>
    <t>P015</t>
  </si>
  <si>
    <t>Patient 15</t>
  </si>
  <si>
    <t>Equipment Name</t>
  </si>
  <si>
    <t>Equipment ID</t>
  </si>
  <si>
    <t>Department</t>
  </si>
  <si>
    <t>Last Calibration Date</t>
  </si>
  <si>
    <t>Next Calibration Date</t>
  </si>
  <si>
    <t>Calibration Status</t>
  </si>
  <si>
    <t>ECG Machine</t>
  </si>
  <si>
    <t>EQ-001</t>
  </si>
  <si>
    <t>Cardiology</t>
  </si>
  <si>
    <t>Infusion Pump</t>
  </si>
  <si>
    <t>EQ-002</t>
  </si>
  <si>
    <t>ICU</t>
  </si>
  <si>
    <t>Ventilator</t>
  </si>
  <si>
    <t>EQ-003</t>
  </si>
  <si>
    <t>Defibrillator</t>
  </si>
  <si>
    <t>EQ-004</t>
  </si>
  <si>
    <t>Emergency</t>
  </si>
  <si>
    <t>Patient Monitor</t>
  </si>
  <si>
    <t>EQ-005</t>
  </si>
  <si>
    <t>Ultrasound Machine</t>
  </si>
  <si>
    <t>EQ-006</t>
  </si>
  <si>
    <t>Radiology</t>
  </si>
  <si>
    <t>Syringe Pump</t>
  </si>
  <si>
    <t>EQ-007</t>
  </si>
  <si>
    <t>Neonatal ICU</t>
  </si>
  <si>
    <t>X-Ray Machine</t>
  </si>
  <si>
    <t>EQ-008</t>
  </si>
  <si>
    <t>Anesthesia Machine</t>
  </si>
  <si>
    <t>EQ-009</t>
  </si>
  <si>
    <t>Operation Theatre</t>
  </si>
  <si>
    <t>Blood Pressure Monitor</t>
  </si>
  <si>
    <t>EQ-010</t>
  </si>
  <si>
    <t>Ward</t>
  </si>
  <si>
    <t>Pulse Oximeter</t>
  </si>
  <si>
    <t>EQ-011</t>
  </si>
  <si>
    <t>Dialysis Machine</t>
  </si>
  <si>
    <t>EQ-012</t>
  </si>
  <si>
    <t>Nephrology</t>
  </si>
  <si>
    <t>CT Scanner</t>
  </si>
  <si>
    <t>EQ-013</t>
  </si>
  <si>
    <t>Oxygen Concentrator</t>
  </si>
  <si>
    <t>EQ-014</t>
  </si>
  <si>
    <t>Glucometer</t>
  </si>
  <si>
    <t>EQ-015</t>
  </si>
  <si>
    <t>Laboratory</t>
  </si>
  <si>
    <t>Daily Usage Hours</t>
  </si>
  <si>
    <t>Power Rating (Watts)</t>
  </si>
  <si>
    <t>Daily Energy Consumption (kWh)</t>
  </si>
  <si>
    <t>Average BPM</t>
  </si>
  <si>
    <t>Max BPM</t>
  </si>
  <si>
    <t>Min BPM</t>
  </si>
  <si>
    <t>Average Systolic BP</t>
  </si>
  <si>
    <t>Number of Critical Patients</t>
  </si>
  <si>
    <t>Age Category</t>
  </si>
  <si>
    <t>Status</t>
  </si>
  <si>
    <t>Count</t>
  </si>
  <si>
    <t>Normal</t>
  </si>
  <si>
    <t>Warning</t>
  </si>
  <si>
    <t>Critical</t>
  </si>
  <si>
    <t>Number of Equipment</t>
  </si>
  <si>
    <t>Overdue</t>
  </si>
  <si>
    <t>Due Soon</t>
  </si>
  <si>
    <t>Valid</t>
  </si>
  <si>
    <t>Total Consumption</t>
  </si>
  <si>
    <t>Equiment with Highest Usage</t>
  </si>
  <si>
    <t>Equiment with Lowest Usage</t>
  </si>
  <si>
    <t>Total Daily Electricity Cost</t>
  </si>
  <si>
    <t>Monthly Electricity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</si>
</sst>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double">
        <color rgb="FF3F3F3F"/>
      </top>
      <bottom style="medium">
        <color indexed="64"/>
      </bottom>
      <diagonal/>
    </border>
    <border>
      <left/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6">
    <xf numFmtId="0" fontId="0" fillId="0" borderId="0" xfId="0"/>
    <xf numFmtId="0" fontId="5" fillId="2" borderId="1" xfId="1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2" borderId="1" xfId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5" fontId="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2" borderId="1" xfId="1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2" borderId="5" xfId="1" applyFont="1" applyBorder="1" applyAlignment="1">
      <alignment horizontal="center" vertical="center" wrapText="1"/>
    </xf>
    <xf numFmtId="0" fontId="9" fillId="2" borderId="6" xfId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2" borderId="5" xfId="1" applyFont="1" applyBorder="1" applyAlignment="1">
      <alignment horizontal="center" vertical="center" wrapText="1"/>
    </xf>
    <xf numFmtId="0" fontId="5" fillId="2" borderId="6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6"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B5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869-4B7C-8D59-E179021B972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69-4B7C-8D59-E179021B972E}"/>
              </c:ext>
            </c:extLst>
          </c:dPt>
          <c:dPt>
            <c:idx val="2"/>
            <c:bubble3D val="0"/>
            <c:spPr>
              <a:solidFill>
                <a:srgbClr val="FB5F4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69-4B7C-8D59-E179021B972E}"/>
              </c:ext>
            </c:extLst>
          </c:dPt>
          <c:cat>
            <c:strRef>
              <c:f>Patient_Vitals!$B$24:$B$26</c:f>
              <c:strCache>
                <c:ptCount val="3"/>
                <c:pt idx="0">
                  <c:v>Normal</c:v>
                </c:pt>
                <c:pt idx="1">
                  <c:v>Warning</c:v>
                </c:pt>
                <c:pt idx="2">
                  <c:v>Critical</c:v>
                </c:pt>
              </c:strCache>
            </c:strRef>
          </c:cat>
          <c:val>
            <c:numRef>
              <c:f>Patient_Vitals!$C$24:$C$26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69-4B7C-8D59-E179021B9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44444444444442"/>
          <c:y val="0.86615090452403132"/>
          <c:w val="0.48355555555555557"/>
          <c:h val="0.10248708830750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21</xdr:row>
      <xdr:rowOff>185736</xdr:rowOff>
    </xdr:from>
    <xdr:to>
      <xdr:col>8</xdr:col>
      <xdr:colOff>66676</xdr:colOff>
      <xdr:row>32</xdr:row>
      <xdr:rowOff>47626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4E532B-3856-D924-3D7B-7E455E475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80" zoomScaleNormal="80" workbookViewId="0">
      <selection activeCell="J29" sqref="J29"/>
    </sheetView>
  </sheetViews>
  <sheetFormatPr defaultRowHeight="21" x14ac:dyDescent="0.35"/>
  <cols>
    <col min="1" max="12" width="19.5703125" style="9" customWidth="1"/>
    <col min="13" max="16384" width="9.140625" style="9"/>
  </cols>
  <sheetData>
    <row r="1" spans="1:12" ht="55.5" customHeight="1" thickTop="1" thickBot="1" x14ac:dyDescent="0.4">
      <c r="A1" s="10" t="s">
        <v>0</v>
      </c>
      <c r="B1" s="10" t="s">
        <v>1</v>
      </c>
      <c r="C1" s="10" t="s">
        <v>2</v>
      </c>
      <c r="D1" s="10" t="s">
        <v>91</v>
      </c>
      <c r="E1" s="24" t="s">
        <v>3</v>
      </c>
      <c r="F1" s="25"/>
      <c r="G1" s="24" t="s">
        <v>4</v>
      </c>
      <c r="H1" s="25"/>
      <c r="I1" s="10" t="s">
        <v>5</v>
      </c>
      <c r="J1" s="10" t="s">
        <v>6</v>
      </c>
      <c r="K1" s="24" t="s">
        <v>7</v>
      </c>
      <c r="L1" s="25"/>
    </row>
    <row r="2" spans="1:12" ht="30.75" customHeight="1" thickTop="1" thickBot="1" x14ac:dyDescent="0.4">
      <c r="A2" s="11" t="s">
        <v>8</v>
      </c>
      <c r="B2" s="12" t="s">
        <v>9</v>
      </c>
      <c r="C2" s="12">
        <v>45</v>
      </c>
      <c r="D2" s="13" t="str">
        <f>IF(C2&lt;30,"Young",IF(C2&lt;=50,"Adult","Senior"))</f>
        <v>Adult</v>
      </c>
      <c r="E2" s="26">
        <v>78</v>
      </c>
      <c r="F2" s="27"/>
      <c r="G2" s="26">
        <v>120</v>
      </c>
      <c r="H2" s="27"/>
      <c r="I2" s="12">
        <v>80</v>
      </c>
      <c r="J2" s="14">
        <v>46023</v>
      </c>
      <c r="K2" s="30" t="str">
        <f t="shared" ref="K2:K16" si="0">IF(OR(E2&lt;60,E2&gt;100,G2&gt;140,I2&gt;90),"Critical",
IF(OR(E2&lt;70,E2&gt;95),"Warning","Normal"))</f>
        <v>Normal</v>
      </c>
      <c r="L2" s="31"/>
    </row>
    <row r="3" spans="1:12" ht="30.75" customHeight="1" thickBot="1" x14ac:dyDescent="0.4">
      <c r="A3" s="11" t="s">
        <v>10</v>
      </c>
      <c r="B3" s="12" t="s">
        <v>11</v>
      </c>
      <c r="C3" s="12">
        <v>32</v>
      </c>
      <c r="D3" s="13" t="str">
        <f t="shared" ref="D3:D16" si="1">IF(C3&lt;30,"Young",IF(C3&lt;=50,"Adult","Senior"))</f>
        <v>Adult</v>
      </c>
      <c r="E3" s="20">
        <v>72</v>
      </c>
      <c r="F3" s="21"/>
      <c r="G3" s="20">
        <v>118</v>
      </c>
      <c r="H3" s="21"/>
      <c r="I3" s="12">
        <v>76</v>
      </c>
      <c r="J3" s="14">
        <v>46023</v>
      </c>
      <c r="K3" s="28" t="str">
        <f t="shared" si="0"/>
        <v>Normal</v>
      </c>
      <c r="L3" s="29"/>
    </row>
    <row r="4" spans="1:12" ht="30.75" customHeight="1" thickBot="1" x14ac:dyDescent="0.4">
      <c r="A4" s="11" t="s">
        <v>12</v>
      </c>
      <c r="B4" s="12" t="s">
        <v>13</v>
      </c>
      <c r="C4" s="12">
        <v>58</v>
      </c>
      <c r="D4" s="13" t="str">
        <f t="shared" si="1"/>
        <v>Senior</v>
      </c>
      <c r="E4" s="20">
        <v>92</v>
      </c>
      <c r="F4" s="21"/>
      <c r="G4" s="20">
        <v>145</v>
      </c>
      <c r="H4" s="21"/>
      <c r="I4" s="12">
        <v>90</v>
      </c>
      <c r="J4" s="14">
        <v>46023</v>
      </c>
      <c r="K4" s="28" t="str">
        <f t="shared" si="0"/>
        <v>Critical</v>
      </c>
      <c r="L4" s="29"/>
    </row>
    <row r="5" spans="1:12" ht="30.75" customHeight="1" thickBot="1" x14ac:dyDescent="0.4">
      <c r="A5" s="11" t="s">
        <v>14</v>
      </c>
      <c r="B5" s="12" t="s">
        <v>15</v>
      </c>
      <c r="C5" s="12">
        <v>26</v>
      </c>
      <c r="D5" s="13" t="str">
        <f t="shared" si="1"/>
        <v>Young</v>
      </c>
      <c r="E5" s="20">
        <v>70</v>
      </c>
      <c r="F5" s="21"/>
      <c r="G5" s="20">
        <v>110</v>
      </c>
      <c r="H5" s="21"/>
      <c r="I5" s="12">
        <v>70</v>
      </c>
      <c r="J5" s="14">
        <v>46023</v>
      </c>
      <c r="K5" s="28" t="str">
        <f t="shared" si="0"/>
        <v>Normal</v>
      </c>
      <c r="L5" s="29"/>
    </row>
    <row r="6" spans="1:12" ht="30.75" customHeight="1" thickBot="1" x14ac:dyDescent="0.4">
      <c r="A6" s="11" t="s">
        <v>16</v>
      </c>
      <c r="B6" s="12" t="s">
        <v>17</v>
      </c>
      <c r="C6" s="12">
        <v>63</v>
      </c>
      <c r="D6" s="13" t="str">
        <f t="shared" si="1"/>
        <v>Senior</v>
      </c>
      <c r="E6" s="20">
        <v>98</v>
      </c>
      <c r="F6" s="21"/>
      <c r="G6" s="20">
        <v>160</v>
      </c>
      <c r="H6" s="21"/>
      <c r="I6" s="12">
        <v>95</v>
      </c>
      <c r="J6" s="14">
        <v>46054</v>
      </c>
      <c r="K6" s="28" t="str">
        <f t="shared" si="0"/>
        <v>Critical</v>
      </c>
      <c r="L6" s="29"/>
    </row>
    <row r="7" spans="1:12" ht="30.75" customHeight="1" thickBot="1" x14ac:dyDescent="0.4">
      <c r="A7" s="11" t="s">
        <v>18</v>
      </c>
      <c r="B7" s="12" t="s">
        <v>19</v>
      </c>
      <c r="C7" s="12">
        <v>40</v>
      </c>
      <c r="D7" s="13" t="str">
        <f t="shared" si="1"/>
        <v>Adult</v>
      </c>
      <c r="E7" s="20">
        <v>85</v>
      </c>
      <c r="F7" s="21"/>
      <c r="G7" s="20">
        <v>130</v>
      </c>
      <c r="H7" s="21"/>
      <c r="I7" s="12">
        <v>85</v>
      </c>
      <c r="J7" s="14">
        <v>46054</v>
      </c>
      <c r="K7" s="28" t="str">
        <f t="shared" si="0"/>
        <v>Normal</v>
      </c>
      <c r="L7" s="29"/>
    </row>
    <row r="8" spans="1:12" ht="30.75" customHeight="1" thickBot="1" x14ac:dyDescent="0.4">
      <c r="A8" s="11" t="s">
        <v>20</v>
      </c>
      <c r="B8" s="12" t="s">
        <v>21</v>
      </c>
      <c r="C8" s="12">
        <v>51</v>
      </c>
      <c r="D8" s="13" t="str">
        <f t="shared" si="1"/>
        <v>Senior</v>
      </c>
      <c r="E8" s="20">
        <v>88</v>
      </c>
      <c r="F8" s="21"/>
      <c r="G8" s="20">
        <v>140</v>
      </c>
      <c r="H8" s="21"/>
      <c r="I8" s="12">
        <v>88</v>
      </c>
      <c r="J8" s="14">
        <v>46054</v>
      </c>
      <c r="K8" s="28" t="str">
        <f t="shared" si="0"/>
        <v>Normal</v>
      </c>
      <c r="L8" s="29"/>
    </row>
    <row r="9" spans="1:12" ht="30.75" customHeight="1" thickBot="1" x14ac:dyDescent="0.4">
      <c r="A9" s="11" t="s">
        <v>22</v>
      </c>
      <c r="B9" s="12" t="s">
        <v>23</v>
      </c>
      <c r="C9" s="12">
        <v>29</v>
      </c>
      <c r="D9" s="13" t="str">
        <f t="shared" si="1"/>
        <v>Young</v>
      </c>
      <c r="E9" s="20">
        <v>68</v>
      </c>
      <c r="F9" s="21"/>
      <c r="G9" s="20">
        <v>112</v>
      </c>
      <c r="H9" s="21"/>
      <c r="I9" s="12">
        <v>72</v>
      </c>
      <c r="J9" s="14">
        <v>46054</v>
      </c>
      <c r="K9" s="28" t="str">
        <f t="shared" si="0"/>
        <v>Warning</v>
      </c>
      <c r="L9" s="29"/>
    </row>
    <row r="10" spans="1:12" ht="30.75" customHeight="1" thickBot="1" x14ac:dyDescent="0.4">
      <c r="A10" s="11" t="s">
        <v>24</v>
      </c>
      <c r="B10" s="12" t="s">
        <v>25</v>
      </c>
      <c r="C10" s="12">
        <v>47</v>
      </c>
      <c r="D10" s="13" t="str">
        <f t="shared" si="1"/>
        <v>Adult</v>
      </c>
      <c r="E10" s="20">
        <v>90</v>
      </c>
      <c r="F10" s="21"/>
      <c r="G10" s="20">
        <v>150</v>
      </c>
      <c r="H10" s="21"/>
      <c r="I10" s="12">
        <v>92</v>
      </c>
      <c r="J10" s="14">
        <v>46082</v>
      </c>
      <c r="K10" s="28" t="str">
        <f t="shared" si="0"/>
        <v>Critical</v>
      </c>
      <c r="L10" s="29"/>
    </row>
    <row r="11" spans="1:12" ht="30.75" customHeight="1" thickBot="1" x14ac:dyDescent="0.4">
      <c r="A11" s="11" t="s">
        <v>26</v>
      </c>
      <c r="B11" s="12" t="s">
        <v>27</v>
      </c>
      <c r="C11" s="12">
        <v>35</v>
      </c>
      <c r="D11" s="13" t="str">
        <f t="shared" si="1"/>
        <v>Adult</v>
      </c>
      <c r="E11" s="20">
        <v>74</v>
      </c>
      <c r="F11" s="21"/>
      <c r="G11" s="20">
        <v>122</v>
      </c>
      <c r="H11" s="21"/>
      <c r="I11" s="12">
        <v>78</v>
      </c>
      <c r="J11" s="14">
        <v>46082</v>
      </c>
      <c r="K11" s="28" t="str">
        <f t="shared" si="0"/>
        <v>Normal</v>
      </c>
      <c r="L11" s="29"/>
    </row>
    <row r="12" spans="1:12" ht="30.75" customHeight="1" thickBot="1" x14ac:dyDescent="0.4">
      <c r="A12" s="11" t="s">
        <v>28</v>
      </c>
      <c r="B12" s="12" t="s">
        <v>29</v>
      </c>
      <c r="C12" s="12">
        <v>60</v>
      </c>
      <c r="D12" s="13" t="str">
        <f t="shared" si="1"/>
        <v>Senior</v>
      </c>
      <c r="E12" s="20">
        <v>96</v>
      </c>
      <c r="F12" s="21"/>
      <c r="G12" s="20">
        <v>158</v>
      </c>
      <c r="H12" s="21"/>
      <c r="I12" s="12">
        <v>94</v>
      </c>
      <c r="J12" s="14">
        <v>46082</v>
      </c>
      <c r="K12" s="28" t="str">
        <f t="shared" si="0"/>
        <v>Critical</v>
      </c>
      <c r="L12" s="29"/>
    </row>
    <row r="13" spans="1:12" ht="30.75" customHeight="1" thickBot="1" x14ac:dyDescent="0.4">
      <c r="A13" s="11" t="s">
        <v>30</v>
      </c>
      <c r="B13" s="12" t="s">
        <v>31</v>
      </c>
      <c r="C13" s="12">
        <v>42</v>
      </c>
      <c r="D13" s="13" t="str">
        <f t="shared" si="1"/>
        <v>Adult</v>
      </c>
      <c r="E13" s="20">
        <v>82</v>
      </c>
      <c r="F13" s="21"/>
      <c r="G13" s="20">
        <v>135</v>
      </c>
      <c r="H13" s="21"/>
      <c r="I13" s="12">
        <v>84</v>
      </c>
      <c r="J13" s="14">
        <v>46082</v>
      </c>
      <c r="K13" s="28" t="str">
        <f t="shared" si="0"/>
        <v>Normal</v>
      </c>
      <c r="L13" s="29"/>
    </row>
    <row r="14" spans="1:12" ht="30.75" customHeight="1" thickBot="1" x14ac:dyDescent="0.4">
      <c r="A14" s="11" t="s">
        <v>32</v>
      </c>
      <c r="B14" s="12" t="s">
        <v>33</v>
      </c>
      <c r="C14" s="12">
        <v>55</v>
      </c>
      <c r="D14" s="13" t="str">
        <f t="shared" si="1"/>
        <v>Senior</v>
      </c>
      <c r="E14" s="20">
        <v>89</v>
      </c>
      <c r="F14" s="21"/>
      <c r="G14" s="20">
        <v>142</v>
      </c>
      <c r="H14" s="21"/>
      <c r="I14" s="12">
        <v>90</v>
      </c>
      <c r="J14" s="14">
        <v>46113</v>
      </c>
      <c r="K14" s="28" t="str">
        <f t="shared" si="0"/>
        <v>Critical</v>
      </c>
      <c r="L14" s="29"/>
    </row>
    <row r="15" spans="1:12" ht="30.75" customHeight="1" thickBot="1" x14ac:dyDescent="0.4">
      <c r="A15" s="11" t="s">
        <v>34</v>
      </c>
      <c r="B15" s="12" t="s">
        <v>35</v>
      </c>
      <c r="C15" s="12">
        <v>23</v>
      </c>
      <c r="D15" s="13" t="str">
        <f t="shared" si="1"/>
        <v>Young</v>
      </c>
      <c r="E15" s="20">
        <v>66</v>
      </c>
      <c r="F15" s="21"/>
      <c r="G15" s="20">
        <v>108</v>
      </c>
      <c r="H15" s="21"/>
      <c r="I15" s="12">
        <v>68</v>
      </c>
      <c r="J15" s="14">
        <v>46113</v>
      </c>
      <c r="K15" s="28" t="str">
        <f t="shared" si="0"/>
        <v>Warning</v>
      </c>
      <c r="L15" s="29"/>
    </row>
    <row r="16" spans="1:12" ht="30.75" customHeight="1" thickBot="1" x14ac:dyDescent="0.4">
      <c r="A16" s="11" t="s">
        <v>36</v>
      </c>
      <c r="B16" s="12" t="s">
        <v>37</v>
      </c>
      <c r="C16" s="12">
        <v>65</v>
      </c>
      <c r="D16" s="13" t="str">
        <f t="shared" si="1"/>
        <v>Senior</v>
      </c>
      <c r="E16" s="18">
        <v>100</v>
      </c>
      <c r="F16" s="19"/>
      <c r="G16" s="18">
        <v>165</v>
      </c>
      <c r="H16" s="19"/>
      <c r="I16" s="12">
        <v>98</v>
      </c>
      <c r="J16" s="14">
        <v>46113</v>
      </c>
      <c r="K16" s="22" t="str">
        <f t="shared" si="0"/>
        <v>Critical</v>
      </c>
      <c r="L16" s="23"/>
    </row>
    <row r="17" spans="1:12" ht="60.75" x14ac:dyDescent="0.35">
      <c r="A17" s="15"/>
      <c r="B17" s="15"/>
      <c r="C17" s="15"/>
      <c r="D17" s="15"/>
      <c r="E17" s="16" t="s">
        <v>86</v>
      </c>
      <c r="F17" s="17">
        <f>AVERAGE(E2:E16)</f>
        <v>83.2</v>
      </c>
      <c r="G17" s="16" t="s">
        <v>89</v>
      </c>
      <c r="H17" s="17">
        <f>ROUND(AVERAGE(G2:G16),2)</f>
        <v>134.33000000000001</v>
      </c>
      <c r="I17" s="15"/>
      <c r="J17" s="15"/>
      <c r="K17" s="16" t="s">
        <v>90</v>
      </c>
      <c r="L17" s="17">
        <f>COUNTIF(K2:K16, "Critical")</f>
        <v>6</v>
      </c>
    </row>
    <row r="18" spans="1:12" x14ac:dyDescent="0.35">
      <c r="A18" s="15"/>
      <c r="B18" s="15"/>
      <c r="C18" s="15"/>
      <c r="D18" s="15"/>
      <c r="E18" s="16" t="s">
        <v>87</v>
      </c>
      <c r="F18" s="17">
        <f>MAX(E2:E16)</f>
        <v>100</v>
      </c>
      <c r="G18" s="15"/>
      <c r="H18" s="15"/>
      <c r="I18" s="15"/>
      <c r="J18" s="15"/>
      <c r="K18" s="15"/>
      <c r="L18" s="15"/>
    </row>
    <row r="19" spans="1:12" x14ac:dyDescent="0.35">
      <c r="A19" s="15"/>
      <c r="B19" s="15"/>
      <c r="C19" s="15"/>
      <c r="D19" s="15"/>
      <c r="E19" s="16" t="s">
        <v>88</v>
      </c>
      <c r="F19" s="17">
        <f>MIN(E2:E16)</f>
        <v>66</v>
      </c>
      <c r="G19" s="15"/>
      <c r="H19" s="15"/>
      <c r="I19" s="15"/>
      <c r="J19" s="15"/>
      <c r="K19" s="15"/>
      <c r="L19" s="15"/>
    </row>
    <row r="23" spans="1:12" x14ac:dyDescent="0.35">
      <c r="B23" s="9" t="s">
        <v>92</v>
      </c>
      <c r="C23" s="9" t="s">
        <v>93</v>
      </c>
    </row>
    <row r="24" spans="1:12" x14ac:dyDescent="0.35">
      <c r="B24" s="9" t="s">
        <v>94</v>
      </c>
      <c r="C24" s="9">
        <f>COUNTIF(K2:K16, "Normal")</f>
        <v>7</v>
      </c>
    </row>
    <row r="25" spans="1:12" x14ac:dyDescent="0.35">
      <c r="B25" s="9" t="s">
        <v>95</v>
      </c>
      <c r="C25" s="9">
        <f>COUNTIF(K3:K17, "Warning")</f>
        <v>2</v>
      </c>
    </row>
    <row r="26" spans="1:12" x14ac:dyDescent="0.35">
      <c r="B26" s="9" t="s">
        <v>96</v>
      </c>
      <c r="C26" s="9">
        <f>COUNTIF(K4:K18, "Critical")</f>
        <v>6</v>
      </c>
    </row>
  </sheetData>
  <mergeCells count="48">
    <mergeCell ref="E6:F6"/>
    <mergeCell ref="E7:F7"/>
    <mergeCell ref="E8:F8"/>
    <mergeCell ref="E9:F9"/>
    <mergeCell ref="E1:F1"/>
    <mergeCell ref="E2:F2"/>
    <mergeCell ref="E3:F3"/>
    <mergeCell ref="E4:F4"/>
    <mergeCell ref="E5:F5"/>
    <mergeCell ref="E16:F16"/>
    <mergeCell ref="K1:L1"/>
    <mergeCell ref="K2:L2"/>
    <mergeCell ref="K3:L3"/>
    <mergeCell ref="K4:L4"/>
    <mergeCell ref="K5:L5"/>
    <mergeCell ref="K6:L6"/>
    <mergeCell ref="K7:L7"/>
    <mergeCell ref="K8:L8"/>
    <mergeCell ref="K9:L9"/>
    <mergeCell ref="E10:F10"/>
    <mergeCell ref="E11:F11"/>
    <mergeCell ref="E12:F12"/>
    <mergeCell ref="E13:F13"/>
    <mergeCell ref="E14:F14"/>
    <mergeCell ref="E15:F15"/>
    <mergeCell ref="K16:L16"/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K10:L10"/>
    <mergeCell ref="K11:L11"/>
    <mergeCell ref="K12:L12"/>
    <mergeCell ref="K13:L13"/>
    <mergeCell ref="K14:L14"/>
    <mergeCell ref="K15:L15"/>
    <mergeCell ref="G16:H16"/>
    <mergeCell ref="G10:H10"/>
    <mergeCell ref="G11:H11"/>
    <mergeCell ref="G12:H12"/>
    <mergeCell ref="G13:H13"/>
    <mergeCell ref="G14:H14"/>
    <mergeCell ref="G15:H15"/>
  </mergeCells>
  <conditionalFormatting sqref="K2:K16">
    <cfRule type="containsText" dxfId="5" priority="1" operator="containsText" text="Normal">
      <formula>NOT(ISERROR(SEARCH("Normal",K2)))</formula>
    </cfRule>
    <cfRule type="containsText" dxfId="4" priority="2" operator="containsText" text="Warning">
      <formula>NOT(ISERROR(SEARCH("Warning",K2)))</formula>
    </cfRule>
    <cfRule type="containsText" dxfId="3" priority="3" operator="containsText" text="Critical">
      <formula>NOT(ISERROR(SEARCH("Critical",K2)))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zoomScale="70" zoomScaleNormal="70" workbookViewId="0">
      <selection activeCell="L16" sqref="L16"/>
    </sheetView>
  </sheetViews>
  <sheetFormatPr defaultRowHeight="18.75" x14ac:dyDescent="0.25"/>
  <cols>
    <col min="1" max="6" width="22.5703125" style="32" customWidth="1"/>
    <col min="7" max="16384" width="9.140625" style="32"/>
  </cols>
  <sheetData>
    <row r="1" spans="1:6" ht="41.25" customHeight="1" thickTop="1" thickBot="1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</row>
    <row r="2" spans="1:6" ht="28.5" customHeight="1" thickTop="1" thickBot="1" x14ac:dyDescent="0.3">
      <c r="A2" s="5" t="s">
        <v>44</v>
      </c>
      <c r="B2" s="6" t="s">
        <v>45</v>
      </c>
      <c r="C2" s="6" t="s">
        <v>46</v>
      </c>
      <c r="D2" s="7">
        <v>45976</v>
      </c>
      <c r="E2" s="7">
        <f>EDATE(D2,12)</f>
        <v>46341</v>
      </c>
      <c r="F2" s="8" t="str">
        <f ca="1">IF(E2&lt;TODAY(),"Overdue",
IF(E2&lt;=TODAY()+30,"Due Soon","Valid"))</f>
        <v>Valid</v>
      </c>
    </row>
    <row r="3" spans="1:6" ht="28.5" customHeight="1" thickBot="1" x14ac:dyDescent="0.3">
      <c r="A3" s="5" t="s">
        <v>47</v>
      </c>
      <c r="B3" s="6" t="s">
        <v>48</v>
      </c>
      <c r="C3" s="6" t="s">
        <v>49</v>
      </c>
      <c r="D3" s="7">
        <v>45940</v>
      </c>
      <c r="E3" s="7">
        <f t="shared" ref="E3:E16" si="0">EDATE(D3,12)</f>
        <v>46305</v>
      </c>
      <c r="F3" s="8" t="str">
        <f ca="1">IF(E3&lt;TODAY(),"Overdue",
IF(E3&lt;=TODAY()+30,"Due Soon","Valid"))</f>
        <v>Valid</v>
      </c>
    </row>
    <row r="4" spans="1:6" ht="28.5" customHeight="1" thickBot="1" x14ac:dyDescent="0.3">
      <c r="A4" s="5" t="s">
        <v>50</v>
      </c>
      <c r="B4" s="6" t="s">
        <v>51</v>
      </c>
      <c r="C4" s="6" t="s">
        <v>49</v>
      </c>
      <c r="D4" s="7">
        <v>45666</v>
      </c>
      <c r="E4" s="7">
        <f t="shared" si="0"/>
        <v>46031</v>
      </c>
      <c r="F4" s="8" t="str">
        <f ca="1">IF(E4&lt;TODAY(),"Overdue",
IF(E4&lt;=TODAY()+30,"Due Soon","Valid"))</f>
        <v>Overdue</v>
      </c>
    </row>
    <row r="5" spans="1:6" ht="28.5" customHeight="1" thickBot="1" x14ac:dyDescent="0.3">
      <c r="A5" s="5" t="s">
        <v>52</v>
      </c>
      <c r="B5" s="6" t="s">
        <v>53</v>
      </c>
      <c r="C5" s="6" t="s">
        <v>54</v>
      </c>
      <c r="D5" s="7">
        <v>46011</v>
      </c>
      <c r="E5" s="7">
        <f t="shared" si="0"/>
        <v>46376</v>
      </c>
      <c r="F5" s="8" t="str">
        <f ca="1">IF(E5&lt;TODAY(),"Overdue",
IF(E5&lt;=TODAY()+30,"Due Soon","Valid"))</f>
        <v>Valid</v>
      </c>
    </row>
    <row r="6" spans="1:6" ht="28.5" customHeight="1" thickBot="1" x14ac:dyDescent="0.3">
      <c r="A6" s="5" t="s">
        <v>55</v>
      </c>
      <c r="B6" s="6" t="s">
        <v>56</v>
      </c>
      <c r="C6" s="6" t="s">
        <v>49</v>
      </c>
      <c r="D6" s="7">
        <v>45787</v>
      </c>
      <c r="E6" s="7">
        <f t="shared" si="0"/>
        <v>46152</v>
      </c>
      <c r="F6" s="8" t="str">
        <f ca="1">IF(E6&lt;TODAY(),"Overdue",
IF(E6&lt;=TODAY()+30,"Due Soon","Valid"))</f>
        <v>Valid</v>
      </c>
    </row>
    <row r="7" spans="1:6" ht="45" customHeight="1" thickBot="1" x14ac:dyDescent="0.3">
      <c r="A7" s="5" t="s">
        <v>57</v>
      </c>
      <c r="B7" s="6" t="s">
        <v>58</v>
      </c>
      <c r="C7" s="6" t="s">
        <v>59</v>
      </c>
      <c r="D7" s="7">
        <v>45999</v>
      </c>
      <c r="E7" s="7">
        <f t="shared" si="0"/>
        <v>46364</v>
      </c>
      <c r="F7" s="8" t="str">
        <f ca="1">IF(E7&lt;TODAY(),"Overdue",
IF(E7&lt;=TODAY()+30,"Due Soon","Valid"))</f>
        <v>Valid</v>
      </c>
    </row>
    <row r="8" spans="1:6" ht="28.5" customHeight="1" thickBot="1" x14ac:dyDescent="0.3">
      <c r="A8" s="5" t="s">
        <v>60</v>
      </c>
      <c r="B8" s="6" t="s">
        <v>61</v>
      </c>
      <c r="C8" s="6" t="s">
        <v>62</v>
      </c>
      <c r="D8" s="7">
        <v>45979</v>
      </c>
      <c r="E8" s="7">
        <f t="shared" si="0"/>
        <v>46344</v>
      </c>
      <c r="F8" s="8" t="str">
        <f ca="1">IF(E8&lt;TODAY(),"Overdue",
IF(E8&lt;=TODAY()+30,"Due Soon","Valid"))</f>
        <v>Valid</v>
      </c>
    </row>
    <row r="9" spans="1:6" ht="28.5" customHeight="1" thickBot="1" x14ac:dyDescent="0.3">
      <c r="A9" s="5" t="s">
        <v>63</v>
      </c>
      <c r="B9" s="6" t="s">
        <v>64</v>
      </c>
      <c r="C9" s="6" t="s">
        <v>59</v>
      </c>
      <c r="D9" s="7">
        <v>45868</v>
      </c>
      <c r="E9" s="7">
        <f t="shared" si="0"/>
        <v>46233</v>
      </c>
      <c r="F9" s="8" t="str">
        <f ca="1">IF(E9&lt;TODAY(),"Overdue",
IF(E9&lt;=TODAY()+30,"Due Soon","Valid"))</f>
        <v>Valid</v>
      </c>
    </row>
    <row r="10" spans="1:6" ht="45.75" customHeight="1" thickBot="1" x14ac:dyDescent="0.3">
      <c r="A10" s="5" t="s">
        <v>65</v>
      </c>
      <c r="B10" s="6" t="s">
        <v>66</v>
      </c>
      <c r="C10" s="6" t="s">
        <v>67</v>
      </c>
      <c r="D10" s="7">
        <v>45925</v>
      </c>
      <c r="E10" s="7">
        <f t="shared" si="0"/>
        <v>46290</v>
      </c>
      <c r="F10" s="8" t="str">
        <f ca="1">IF(E10&lt;TODAY(),"Overdue",
IF(E10&lt;=TODAY()+30,"Due Soon","Valid"))</f>
        <v>Valid</v>
      </c>
    </row>
    <row r="11" spans="1:6" ht="39" customHeight="1" thickBot="1" x14ac:dyDescent="0.3">
      <c r="A11" s="5" t="s">
        <v>68</v>
      </c>
      <c r="B11" s="6" t="s">
        <v>69</v>
      </c>
      <c r="C11" s="6" t="s">
        <v>70</v>
      </c>
      <c r="D11" s="7">
        <v>45669</v>
      </c>
      <c r="E11" s="7">
        <f t="shared" si="0"/>
        <v>46034</v>
      </c>
      <c r="F11" s="8" t="str">
        <f ca="1">IF(E11&lt;TODAY(),"Overdue",
IF(E11&lt;=TODAY()+30,"Due Soon","Valid"))</f>
        <v>Overdue</v>
      </c>
    </row>
    <row r="12" spans="1:6" ht="28.5" customHeight="1" thickBot="1" x14ac:dyDescent="0.3">
      <c r="A12" s="5" t="s">
        <v>71</v>
      </c>
      <c r="B12" s="6" t="s">
        <v>72</v>
      </c>
      <c r="C12" s="6" t="s">
        <v>70</v>
      </c>
      <c r="D12" s="7">
        <v>45981</v>
      </c>
      <c r="E12" s="7">
        <f t="shared" si="0"/>
        <v>46346</v>
      </c>
      <c r="F12" s="8" t="str">
        <f ca="1">IF(E12&lt;TODAY(),"Overdue",
IF(E12&lt;=TODAY()+30,"Due Soon","Valid"))</f>
        <v>Valid</v>
      </c>
    </row>
    <row r="13" spans="1:6" ht="28.5" customHeight="1" thickBot="1" x14ac:dyDescent="0.3">
      <c r="A13" s="5" t="s">
        <v>73</v>
      </c>
      <c r="B13" s="6" t="s">
        <v>74</v>
      </c>
      <c r="C13" s="6" t="s">
        <v>75</v>
      </c>
      <c r="D13" s="7">
        <v>45884</v>
      </c>
      <c r="E13" s="7">
        <f t="shared" si="0"/>
        <v>46249</v>
      </c>
      <c r="F13" s="8" t="str">
        <f ca="1">IF(E13&lt;TODAY(),"Overdue",
IF(E13&lt;=TODAY()+30,"Due Soon","Valid"))</f>
        <v>Valid</v>
      </c>
    </row>
    <row r="14" spans="1:6" ht="28.5" customHeight="1" thickBot="1" x14ac:dyDescent="0.3">
      <c r="A14" s="5" t="s">
        <v>76</v>
      </c>
      <c r="B14" s="6" t="s">
        <v>77</v>
      </c>
      <c r="C14" s="6" t="s">
        <v>59</v>
      </c>
      <c r="D14" s="7">
        <v>45936</v>
      </c>
      <c r="E14" s="7">
        <f t="shared" si="0"/>
        <v>46301</v>
      </c>
      <c r="F14" s="8" t="str">
        <f ca="1">IF(E14&lt;TODAY(),"Overdue",
IF(E14&lt;=TODAY()+30,"Due Soon","Valid"))</f>
        <v>Valid</v>
      </c>
    </row>
    <row r="15" spans="1:6" ht="39" customHeight="1" thickBot="1" x14ac:dyDescent="0.3">
      <c r="A15" s="5" t="s">
        <v>78</v>
      </c>
      <c r="B15" s="6" t="s">
        <v>79</v>
      </c>
      <c r="C15" s="6" t="s">
        <v>49</v>
      </c>
      <c r="D15" s="7">
        <v>45789</v>
      </c>
      <c r="E15" s="7">
        <f t="shared" si="0"/>
        <v>46154</v>
      </c>
      <c r="F15" s="8" t="str">
        <f ca="1">IF(E15&lt;TODAY(),"Overdue",
IF(E15&lt;=TODAY()+30,"Due Soon","Valid"))</f>
        <v>Valid</v>
      </c>
    </row>
    <row r="16" spans="1:6" ht="28.5" customHeight="1" thickBot="1" x14ac:dyDescent="0.3">
      <c r="A16" s="5" t="s">
        <v>80</v>
      </c>
      <c r="B16" s="6" t="s">
        <v>81</v>
      </c>
      <c r="C16" s="6" t="s">
        <v>82</v>
      </c>
      <c r="D16" s="7">
        <v>45252</v>
      </c>
      <c r="E16" s="7">
        <f t="shared" si="0"/>
        <v>45618</v>
      </c>
      <c r="F16" s="8" t="str">
        <f ca="1">IF(E16&lt;TODAY(),"Overdue",
IF(E16&lt;=TODAY()+30,"Due Soon","Valid"))</f>
        <v>Overdue</v>
      </c>
    </row>
    <row r="21" spans="2:3" ht="37.5" x14ac:dyDescent="0.25">
      <c r="B21" s="33" t="s">
        <v>92</v>
      </c>
      <c r="C21" s="33" t="s">
        <v>97</v>
      </c>
    </row>
    <row r="22" spans="2:3" x14ac:dyDescent="0.25">
      <c r="B22" s="34" t="s">
        <v>98</v>
      </c>
      <c r="C22" s="34">
        <f ca="1">COUNTIF(F2:F16,"Overdue")</f>
        <v>3</v>
      </c>
    </row>
    <row r="23" spans="2:3" x14ac:dyDescent="0.25">
      <c r="B23" s="34" t="s">
        <v>99</v>
      </c>
      <c r="C23" s="34">
        <f ca="1">COUNTIF(F2:F16,"Due Soon")</f>
        <v>0</v>
      </c>
    </row>
    <row r="24" spans="2:3" x14ac:dyDescent="0.25">
      <c r="B24" s="34" t="s">
        <v>100</v>
      </c>
      <c r="C24" s="34">
        <f ca="1">COUNTIF(F2:F16,"Valid")</f>
        <v>12</v>
      </c>
    </row>
  </sheetData>
  <conditionalFormatting sqref="F2:F16">
    <cfRule type="containsText" dxfId="2" priority="1" operator="containsText" text="Valid">
      <formula>NOT(ISERROR(SEARCH("Valid",F2)))</formula>
    </cfRule>
    <cfRule type="containsText" dxfId="1" priority="2" operator="containsText" text="Due Soon">
      <formula>NOT(ISERROR(SEARCH("Due Soon",F2)))</formula>
    </cfRule>
    <cfRule type="containsText" dxfId="0" priority="3" operator="containsText" text="Overdue">
      <formula>NOT(ISERROR(SEARCH("Overdue",F2)))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J12" sqref="J12"/>
    </sheetView>
  </sheetViews>
  <sheetFormatPr defaultRowHeight="21" x14ac:dyDescent="0.25"/>
  <cols>
    <col min="1" max="3" width="32.85546875" style="41" customWidth="1"/>
    <col min="4" max="5" width="24.28515625" style="41" customWidth="1"/>
    <col min="6" max="8" width="9.140625" style="41"/>
    <col min="9" max="9" width="28.140625" style="41" customWidth="1"/>
    <col min="10" max="10" width="21.7109375" style="41" customWidth="1"/>
    <col min="11" max="16384" width="9.140625" style="41"/>
  </cols>
  <sheetData>
    <row r="1" spans="1:5" ht="61.5" customHeight="1" thickTop="1" thickBot="1" x14ac:dyDescent="0.3">
      <c r="A1" s="1" t="s">
        <v>39</v>
      </c>
      <c r="B1" s="1" t="s">
        <v>83</v>
      </c>
      <c r="C1" s="1" t="s">
        <v>84</v>
      </c>
      <c r="D1" s="35" t="s">
        <v>85</v>
      </c>
      <c r="E1" s="36"/>
    </row>
    <row r="2" spans="1:5" ht="24.75" customHeight="1" thickTop="1" thickBot="1" x14ac:dyDescent="0.3">
      <c r="A2" s="2" t="s">
        <v>45</v>
      </c>
      <c r="B2" s="3">
        <v>5</v>
      </c>
      <c r="C2" s="3">
        <v>200</v>
      </c>
      <c r="D2" s="37">
        <f>(B2*C2)/1000</f>
        <v>1</v>
      </c>
      <c r="E2" s="38"/>
    </row>
    <row r="3" spans="1:5" ht="24.75" customHeight="1" thickBot="1" x14ac:dyDescent="0.3">
      <c r="A3" s="2" t="s">
        <v>48</v>
      </c>
      <c r="B3" s="3">
        <v>8</v>
      </c>
      <c r="C3" s="3">
        <v>150</v>
      </c>
      <c r="D3" s="39">
        <f>(B3*C3)/1000</f>
        <v>1.2</v>
      </c>
      <c r="E3" s="40"/>
    </row>
    <row r="4" spans="1:5" ht="24.75" customHeight="1" thickBot="1" x14ac:dyDescent="0.3">
      <c r="A4" s="2" t="s">
        <v>51</v>
      </c>
      <c r="B4" s="3">
        <v>12</v>
      </c>
      <c r="C4" s="3">
        <v>500</v>
      </c>
      <c r="D4" s="39">
        <f>(B4*C4)/1000</f>
        <v>6</v>
      </c>
      <c r="E4" s="40"/>
    </row>
    <row r="5" spans="1:5" ht="24.75" customHeight="1" thickBot="1" x14ac:dyDescent="0.3">
      <c r="A5" s="2" t="s">
        <v>53</v>
      </c>
      <c r="B5" s="3">
        <v>3</v>
      </c>
      <c r="C5" s="3">
        <v>1000</v>
      </c>
      <c r="D5" s="39">
        <f>(B5*C5)/1000</f>
        <v>3</v>
      </c>
      <c r="E5" s="40"/>
    </row>
    <row r="6" spans="1:5" ht="24.75" customHeight="1" thickBot="1" x14ac:dyDescent="0.3">
      <c r="A6" s="2" t="s">
        <v>56</v>
      </c>
      <c r="B6" s="3">
        <v>10</v>
      </c>
      <c r="C6" s="3">
        <v>250</v>
      </c>
      <c r="D6" s="39">
        <f>(B6*C6)/1000</f>
        <v>2.5</v>
      </c>
      <c r="E6" s="40"/>
    </row>
    <row r="7" spans="1:5" ht="24.75" customHeight="1" thickBot="1" x14ac:dyDescent="0.3">
      <c r="A7" s="2" t="s">
        <v>58</v>
      </c>
      <c r="B7" s="3">
        <v>6</v>
      </c>
      <c r="C7" s="3">
        <v>400</v>
      </c>
      <c r="D7" s="39">
        <f>(B7*C7)/1000</f>
        <v>2.4</v>
      </c>
      <c r="E7" s="40"/>
    </row>
    <row r="8" spans="1:5" ht="24.75" customHeight="1" thickBot="1" x14ac:dyDescent="0.3">
      <c r="A8" s="2" t="s">
        <v>61</v>
      </c>
      <c r="B8" s="3">
        <v>4</v>
      </c>
      <c r="C8" s="3">
        <v>120</v>
      </c>
      <c r="D8" s="39">
        <f>(B8*C8)/1000</f>
        <v>0.48</v>
      </c>
      <c r="E8" s="40"/>
    </row>
    <row r="9" spans="1:5" ht="24.75" customHeight="1" thickBot="1" x14ac:dyDescent="0.3">
      <c r="A9" s="2" t="s">
        <v>64</v>
      </c>
      <c r="B9" s="3">
        <v>7</v>
      </c>
      <c r="C9" s="3">
        <v>800</v>
      </c>
      <c r="D9" s="39">
        <f>(B9*C9)/1000</f>
        <v>5.6</v>
      </c>
      <c r="E9" s="40"/>
    </row>
    <row r="10" spans="1:5" ht="24.75" customHeight="1" thickBot="1" x14ac:dyDescent="0.3">
      <c r="A10" s="2" t="s">
        <v>66</v>
      </c>
      <c r="B10" s="3">
        <v>9</v>
      </c>
      <c r="C10" s="3">
        <v>600</v>
      </c>
      <c r="D10" s="39">
        <f>(B10*C10)/1000</f>
        <v>5.4</v>
      </c>
      <c r="E10" s="40"/>
    </row>
    <row r="11" spans="1:5" ht="24.75" customHeight="1" thickBot="1" x14ac:dyDescent="0.3">
      <c r="A11" s="2" t="s">
        <v>69</v>
      </c>
      <c r="B11" s="3">
        <v>2</v>
      </c>
      <c r="C11" s="3">
        <v>50</v>
      </c>
      <c r="D11" s="39">
        <f>(B11*C11)/1000</f>
        <v>0.1</v>
      </c>
      <c r="E11" s="40"/>
    </row>
    <row r="12" spans="1:5" ht="24.75" customHeight="1" thickBot="1" x14ac:dyDescent="0.3">
      <c r="A12" s="2" t="s">
        <v>72</v>
      </c>
      <c r="B12" s="3">
        <v>8</v>
      </c>
      <c r="C12" s="3">
        <v>100</v>
      </c>
      <c r="D12" s="39">
        <f>(B12*C12)/1000</f>
        <v>0.8</v>
      </c>
      <c r="E12" s="40"/>
    </row>
    <row r="13" spans="1:5" ht="24.75" customHeight="1" thickBot="1" x14ac:dyDescent="0.3">
      <c r="A13" s="2" t="s">
        <v>74</v>
      </c>
      <c r="B13" s="3">
        <v>11</v>
      </c>
      <c r="C13" s="3">
        <v>350</v>
      </c>
      <c r="D13" s="39">
        <f>(B13*C13)/1000</f>
        <v>3.85</v>
      </c>
      <c r="E13" s="40"/>
    </row>
    <row r="14" spans="1:5" ht="24.75" customHeight="1" thickBot="1" x14ac:dyDescent="0.3">
      <c r="A14" s="2" t="s">
        <v>77</v>
      </c>
      <c r="B14" s="3">
        <v>5</v>
      </c>
      <c r="C14" s="3">
        <v>700</v>
      </c>
      <c r="D14" s="39">
        <f>(B14*C14)/1000</f>
        <v>3.5</v>
      </c>
      <c r="E14" s="40"/>
    </row>
    <row r="15" spans="1:5" ht="24.75" customHeight="1" thickBot="1" x14ac:dyDescent="0.3">
      <c r="A15" s="2" t="s">
        <v>79</v>
      </c>
      <c r="B15" s="3">
        <v>6</v>
      </c>
      <c r="C15" s="3">
        <v>90</v>
      </c>
      <c r="D15" s="39">
        <f>(B15*C15)/1000</f>
        <v>0.54</v>
      </c>
      <c r="E15" s="40"/>
    </row>
    <row r="16" spans="1:5" ht="24.75" customHeight="1" thickBot="1" x14ac:dyDescent="0.3">
      <c r="A16" s="2" t="s">
        <v>81</v>
      </c>
      <c r="B16" s="3">
        <v>7</v>
      </c>
      <c r="C16" s="3">
        <v>300</v>
      </c>
      <c r="D16" s="44">
        <f>(B16*C16)/1000</f>
        <v>2.1</v>
      </c>
      <c r="E16" s="45"/>
    </row>
    <row r="17" spans="4:10" ht="57.75" customHeight="1" x14ac:dyDescent="0.25">
      <c r="D17" s="42" t="s">
        <v>101</v>
      </c>
      <c r="E17" s="43">
        <f>SUM(D2:D16)</f>
        <v>38.47</v>
      </c>
      <c r="I17" s="42" t="s">
        <v>104</v>
      </c>
      <c r="J17" s="42" t="s">
        <v>105</v>
      </c>
    </row>
    <row r="18" spans="4:10" ht="42" x14ac:dyDescent="0.25">
      <c r="D18" s="42" t="s">
        <v>102</v>
      </c>
      <c r="E18" s="43" t="str">
        <f>INDEX(A2:A16, MATCH(MAX(D2:D16), D2:D16, 0))</f>
        <v>EQ-003</v>
      </c>
      <c r="I18" s="43">
        <f>E17*35</f>
        <v>1346.45</v>
      </c>
      <c r="J18" s="43">
        <f>I18*30</f>
        <v>40393.5</v>
      </c>
    </row>
    <row r="19" spans="4:10" ht="42" x14ac:dyDescent="0.25">
      <c r="D19" s="42" t="s">
        <v>103</v>
      </c>
      <c r="E19" s="43" t="str">
        <f>INDEX(A2:A16, MATCH(MIN(D2:D16), D2:D16, 0))</f>
        <v>EQ-010</v>
      </c>
    </row>
  </sheetData>
  <mergeCells count="16"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12:E12"/>
    <mergeCell ref="D1:E1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Patient_Vitals</vt:lpstr>
      <vt:lpstr>Equipment_Inventory</vt:lpstr>
      <vt:lpstr>Equipment_Power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Lab3  Computer Science Lab3</dc:creator>
  <cp:lastModifiedBy>Ubbad Rizvi</cp:lastModifiedBy>
  <dcterms:created xsi:type="dcterms:W3CDTF">2026-02-12T08:08:10Z</dcterms:created>
  <dcterms:modified xsi:type="dcterms:W3CDTF">2026-02-24T02:02:17Z</dcterms:modified>
</cp:coreProperties>
</file>